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Placements/Premium Calculators/Insurers/TATA AIG/GHI/Calculator/"/>
    </mc:Choice>
  </mc:AlternateContent>
  <xr:revisionPtr revIDLastSave="0" documentId="13_ncr:1_{58150160-BB98-455B-A315-3FB68676E89B}" xr6:coauthVersionLast="47" xr6:coauthVersionMax="47" xr10:uidLastSave="{00000000-0000-0000-0000-000000000000}"/>
  <bookViews>
    <workbookView xWindow="-108" yWindow="-108" windowWidth="23256" windowHeight="13896" tabRatio="761" activeTab="1" xr2:uid="{00000000-000D-0000-FFFF-FFFF00000000}"/>
  </bookViews>
  <sheets>
    <sheet name="Construct" sheetId="2" r:id="rId1"/>
    <sheet name="Coverages" sheetId="6" r:id="rId2"/>
    <sheet name="Pricing E only" sheetId="17" r:id="rId3"/>
    <sheet name="Pricing ESC" sheetId="11" r:id="rId4"/>
    <sheet name="Loadings&amp;Discounts" sheetId="12" r:id="rId5"/>
    <sheet name="Industry List - Non Gig workers" sheetId="3" state="hidden" r:id="rId6"/>
    <sheet name="Industry List - Gig Workers" sheetId="4" state="hidden" r:id="rId7"/>
    <sheet name="Decline List" sheetId="5" r:id="rId8"/>
  </sheets>
  <definedNames>
    <definedName name="_xlnm._FilterDatabase" localSheetId="6" hidden="1">'Industry List - Gig Workers'!$B$2:$C$21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1" l="1"/>
  <c r="G14" i="11"/>
  <c r="G12" i="11"/>
  <c r="G11" i="11"/>
  <c r="I10" i="17"/>
  <c r="I11" i="17" s="1"/>
  <c r="G10" i="12"/>
  <c r="H9" i="17"/>
  <c r="H10" i="17" s="1"/>
  <c r="I12" i="17"/>
  <c r="F15" i="11"/>
  <c r="E15" i="11"/>
  <c r="D15" i="11"/>
  <c r="C15" i="11"/>
  <c r="F14" i="11"/>
  <c r="E14" i="11"/>
  <c r="D14" i="11"/>
  <c r="C14" i="11"/>
  <c r="F13" i="11"/>
  <c r="E13" i="11"/>
  <c r="D13" i="11"/>
  <c r="C13" i="11"/>
  <c r="F12" i="11"/>
  <c r="E12" i="11"/>
  <c r="D12" i="11"/>
  <c r="C12" i="11"/>
  <c r="F11" i="11"/>
  <c r="E11" i="11"/>
  <c r="D11" i="11"/>
  <c r="C11" i="11"/>
  <c r="F10" i="11"/>
  <c r="E10" i="11"/>
  <c r="D10" i="11"/>
  <c r="C10" i="11"/>
</calcChain>
</file>

<file path=xl/sharedStrings.xml><?xml version="1.0" encoding="utf-8"?>
<sst xmlns="http://schemas.openxmlformats.org/spreadsheetml/2006/main" count="217" uniqueCount="191">
  <si>
    <t>Particulars</t>
  </si>
  <si>
    <t>Description of group</t>
  </si>
  <si>
    <t>Master Policy Holder</t>
  </si>
  <si>
    <t>Intermediary</t>
  </si>
  <si>
    <t>Safetynet Insurance Services (Healthysure)</t>
  </si>
  <si>
    <t>Product Details</t>
  </si>
  <si>
    <t>Product</t>
  </si>
  <si>
    <t>GMC</t>
  </si>
  <si>
    <t>Mandatory vs Voluntary</t>
  </si>
  <si>
    <t>Mandatory for all employees</t>
  </si>
  <si>
    <t>Contributory/Non Contributory</t>
  </si>
  <si>
    <t>Non Contributory</t>
  </si>
  <si>
    <t>Premium</t>
  </si>
  <si>
    <t>Min Lives</t>
  </si>
  <si>
    <t>Maternity Option</t>
  </si>
  <si>
    <t>Yes 
(Min. 10 employees for maternity)</t>
  </si>
  <si>
    <t>T&amp;C</t>
  </si>
  <si>
    <t>Administration</t>
  </si>
  <si>
    <t>Documents required for policy issuance</t>
  </si>
  <si>
    <t>TAT</t>
  </si>
  <si>
    <t>7-10 working days for policy issuance
2-3 working days for endorsements</t>
  </si>
  <si>
    <t>Features</t>
  </si>
  <si>
    <t>Base Plan</t>
  </si>
  <si>
    <t>Family Definition</t>
  </si>
  <si>
    <t>Self only 
OR
Self , Spouse, Children upto 25 years (max 4 children)</t>
  </si>
  <si>
    <t>Age Band</t>
  </si>
  <si>
    <t>Per life basis</t>
  </si>
  <si>
    <t>Sum Insured</t>
  </si>
  <si>
    <t>1L/ 2L/ 3L/  5L</t>
  </si>
  <si>
    <t>Policy Type</t>
  </si>
  <si>
    <t xml:space="preserve">Floater </t>
  </si>
  <si>
    <t xml:space="preserve">Co-Pay </t>
  </si>
  <si>
    <t>0% for All</t>
  </si>
  <si>
    <t>Room Rent Restriction</t>
  </si>
  <si>
    <t>Daycare Treatments</t>
  </si>
  <si>
    <t>Covered
(All Procedures)</t>
  </si>
  <si>
    <t>Disease Capping</t>
  </si>
  <si>
    <t>NIL</t>
  </si>
  <si>
    <t>Pre and Post Hospitalization
(medicines, lab tests and consultations)</t>
  </si>
  <si>
    <t>60/90 days
(For in-patient Hospitalization)</t>
  </si>
  <si>
    <t xml:space="preserve">Initial Waiting Period </t>
  </si>
  <si>
    <t>Pre-Existing Diseases Waiting Period</t>
  </si>
  <si>
    <t>Specific Diseases Waiting Period</t>
  </si>
  <si>
    <t>Maternity Cover</t>
  </si>
  <si>
    <r>
      <rPr>
        <b/>
        <sz val="11"/>
        <color theme="5" tint="-0.249977111117893"/>
        <rFont val="Calibri"/>
        <family val="2"/>
        <scheme val="minor"/>
      </rPr>
      <t>Not Covered</t>
    </r>
    <r>
      <rPr>
        <sz val="11"/>
        <color rgb="FFFF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(Can be covered with loading % provided min. 10 employee)</t>
    </r>
  </si>
  <si>
    <t>New Born Baby Coverage</t>
  </si>
  <si>
    <t>Covered from day 1</t>
  </si>
  <si>
    <t>COVID-19 Coverage</t>
  </si>
  <si>
    <r>
      <t xml:space="preserve">Included 
</t>
    </r>
    <r>
      <rPr>
        <sz val="8"/>
        <color theme="1"/>
        <rFont val="Calibri"/>
        <family val="2"/>
        <scheme val="minor"/>
      </rPr>
      <t>(min. 24 hours in-patient hospitalisation)</t>
    </r>
  </si>
  <si>
    <t>Alternative Treatments</t>
  </si>
  <si>
    <t>AYUSH treatments (IPD) covered if in a Govt Approved Hospital</t>
  </si>
  <si>
    <t>Organ Donor Expenses</t>
  </si>
  <si>
    <t>Covered upto 100% of SI</t>
  </si>
  <si>
    <t xml:space="preserve">Emergency Road Ambulance </t>
  </si>
  <si>
    <t>Rs. 2,500 per hospitalization</t>
  </si>
  <si>
    <t>Internal Congenital Diseases</t>
  </si>
  <si>
    <t>Covered</t>
  </si>
  <si>
    <t>External Congenital Diseases</t>
  </si>
  <si>
    <t>Covered only in life threatening conditions</t>
  </si>
  <si>
    <t>OPD Treatment</t>
  </si>
  <si>
    <t>Not Covered</t>
  </si>
  <si>
    <t>Home Hospitalization</t>
  </si>
  <si>
    <t>Psychiatric Illness</t>
  </si>
  <si>
    <t xml:space="preserve">Emergency Air Ambulance </t>
  </si>
  <si>
    <t>Cochlear Implant</t>
  </si>
  <si>
    <t>Geographical Limit</t>
  </si>
  <si>
    <t>India</t>
  </si>
  <si>
    <t>Other Considerations</t>
  </si>
  <si>
    <t>Self Only</t>
  </si>
  <si>
    <t>Commission</t>
  </si>
  <si>
    <t>Age Band / Sum Insured</t>
  </si>
  <si>
    <t>[18-25]</t>
  </si>
  <si>
    <t>[26-35]</t>
  </si>
  <si>
    <t>[36-45]</t>
  </si>
  <si>
    <t>[46-50]</t>
  </si>
  <si>
    <t>[51-55]</t>
  </si>
  <si>
    <t>[56-60]</t>
  </si>
  <si>
    <t>Self, Spouse, Children upto 25 years (max 4 children)</t>
  </si>
  <si>
    <t>[0-5]</t>
  </si>
  <si>
    <t>Discounts applicable on premium rates, basis the corresponding age band</t>
  </si>
  <si>
    <t>Maternity Cover (Normal &amp; C-Section and New Born expenses covered up to maternity sum insured)</t>
  </si>
  <si>
    <t>Age Band / SI</t>
  </si>
  <si>
    <t>Discounts applicable on base premium rates (i.e., premium rates without maternity)</t>
  </si>
  <si>
    <t>Location-based discount</t>
  </si>
  <si>
    <t>Location</t>
  </si>
  <si>
    <t>Discount</t>
  </si>
  <si>
    <t>Mumbai</t>
  </si>
  <si>
    <t>Thane</t>
  </si>
  <si>
    <t>Delhi/NCR</t>
  </si>
  <si>
    <t>Noida</t>
  </si>
  <si>
    <t>Gurgaon</t>
  </si>
  <si>
    <t>Faridabad</t>
  </si>
  <si>
    <t>Ghaziabad</t>
  </si>
  <si>
    <t>Ahmedabad</t>
  </si>
  <si>
    <t>Surat</t>
  </si>
  <si>
    <t>Varodra</t>
  </si>
  <si>
    <t>Pune</t>
  </si>
  <si>
    <t>Cochin</t>
  </si>
  <si>
    <t>Hyderabad</t>
  </si>
  <si>
    <t>Bengaluru</t>
  </si>
  <si>
    <t>Kolkata</t>
  </si>
  <si>
    <t>Chennai</t>
  </si>
  <si>
    <t>Other</t>
  </si>
  <si>
    <t>Industry</t>
  </si>
  <si>
    <t>Master Policy - Non Gig</t>
  </si>
  <si>
    <t>Accountant/Auditors/CA</t>
  </si>
  <si>
    <t>Airline Crew and Airport Ground Staff</t>
  </si>
  <si>
    <t>Artist/Painter/writers</t>
  </si>
  <si>
    <t>Automobile (Non manufacturing)</t>
  </si>
  <si>
    <t>Banker</t>
  </si>
  <si>
    <t>Banks,Financial Institutions and other NBFC including insurance</t>
  </si>
  <si>
    <t>Civil Servant/Bureaucrats</t>
  </si>
  <si>
    <t>Consultants working in office premises</t>
  </si>
  <si>
    <t>Designers</t>
  </si>
  <si>
    <t>Desk Jobs</t>
  </si>
  <si>
    <t>IT,Servicing, Telecom, BPO</t>
  </si>
  <si>
    <t>Legal Professionals</t>
  </si>
  <si>
    <t>Pharmaceutical Industry(non manufacturing)</t>
  </si>
  <si>
    <t>Professional, Scientific and Technical activities</t>
  </si>
  <si>
    <t>Public Sector Undertakings PSU or Govt Agencies</t>
  </si>
  <si>
    <t>Teachers</t>
  </si>
  <si>
    <t>Small SME Merchants</t>
  </si>
  <si>
    <t>Please note: This is illustrative and not an exhaustive list</t>
  </si>
  <si>
    <t>Master Policy - Gig Workers</t>
  </si>
  <si>
    <t>Agro Industry/Food Processing/Dairy/FMCG</t>
  </si>
  <si>
    <t>Chefs/Commercial Kitchen Workers</t>
  </si>
  <si>
    <t>Clerk, pantry boy, peon etc</t>
  </si>
  <si>
    <t>Contractor</t>
  </si>
  <si>
    <t>Delivery Personnel</t>
  </si>
  <si>
    <t>Domestic Help</t>
  </si>
  <si>
    <t>Drivers and Conductors</t>
  </si>
  <si>
    <t>Home Service Providers(Carpenter/Electricians/Plumbers)</t>
  </si>
  <si>
    <t>Hospitality and Tourism Sector Workers (Non Desk Jobs)</t>
  </si>
  <si>
    <t>Hotels, Restaurants</t>
  </si>
  <si>
    <t>Industrial /Manufacturing/Construction</t>
  </si>
  <si>
    <t>Industrial Workers (Non Hazard workers)</t>
  </si>
  <si>
    <t>Mechanics</t>
  </si>
  <si>
    <t>Movie Production Cast &amp; Crew (excl. stuntmen)</t>
  </si>
  <si>
    <t>Other Engineers Not working in Desk Job</t>
  </si>
  <si>
    <t>Porter</t>
  </si>
  <si>
    <t>Postman</t>
  </si>
  <si>
    <t>Sanitation workers</t>
  </si>
  <si>
    <t>Security Officers/Guard</t>
  </si>
  <si>
    <t>Decline list</t>
  </si>
  <si>
    <t>Armed Professionals(Police/CRPF/Army/Navy/Airforce)</t>
  </si>
  <si>
    <t>Circus Workers and Stunt Artist</t>
  </si>
  <si>
    <t>Engaged in racing on wheels or horseback</t>
  </si>
  <si>
    <t>Healthcare workers</t>
  </si>
  <si>
    <t>Hunters</t>
  </si>
  <si>
    <t>Industrial Workers(Hazard workers)</t>
  </si>
  <si>
    <t>Journalist</t>
  </si>
  <si>
    <t>Political Association</t>
  </si>
  <si>
    <t>Mountaineer</t>
  </si>
  <si>
    <t>Politicians</t>
  </si>
  <si>
    <t>Professional Atheletes</t>
  </si>
  <si>
    <t>River Rafting</t>
  </si>
  <si>
    <t>Underground mining</t>
  </si>
  <si>
    <t>Underwater extraction or construction</t>
  </si>
  <si>
    <t>Oil or gas exploration, production, or refining</t>
  </si>
  <si>
    <t>Chemical industries</t>
  </si>
  <si>
    <t>Industries that manufacture, store, or use ammunition, explosives, fireworks, or substantial quantities of toxic substances.</t>
  </si>
  <si>
    <t>Airline or sea faring personnel</t>
  </si>
  <si>
    <t>Security forces</t>
  </si>
  <si>
    <t>Associations of Doctors, Hospitals, Diagnostic centers</t>
  </si>
  <si>
    <t>Lawyers / Association of Lawyers</t>
  </si>
  <si>
    <t>Religious Trust and Institutions involved in charity</t>
  </si>
  <si>
    <t>Persons involved in electrical installation with high tension supply</t>
  </si>
  <si>
    <t>Per life premium rates exclusive of GST</t>
  </si>
  <si>
    <r>
      <rPr>
        <b/>
        <sz val="11"/>
        <color theme="1"/>
        <rFont val="Calibri"/>
        <family val="2"/>
        <scheme val="minor"/>
      </rPr>
      <t xml:space="preserve">For renewal cases - </t>
    </r>
    <r>
      <rPr>
        <sz val="11"/>
        <color theme="1"/>
        <rFont val="Calibri"/>
        <family val="2"/>
        <scheme val="minor"/>
      </rPr>
      <t xml:space="preserve">
1. Exclusive mandate is required
2. Loss ratio should be less than or equal to </t>
    </r>
    <r>
      <rPr>
        <b/>
        <sz val="11"/>
        <color theme="1"/>
        <rFont val="Calibri"/>
        <family val="2"/>
        <scheme val="minor"/>
      </rPr>
      <t xml:space="preserve">75%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For Fresh cases - </t>
    </r>
    <r>
      <rPr>
        <sz val="11"/>
        <color theme="1"/>
        <rFont val="Calibri"/>
        <family val="2"/>
        <scheme val="minor"/>
      </rPr>
      <t xml:space="preserve">
1. Exclusive mandate is required</t>
    </r>
  </si>
  <si>
    <r>
      <rPr>
        <b/>
        <sz val="11"/>
        <color theme="5" tint="-0.249977111117893"/>
        <rFont val="Calibri"/>
        <family val="2"/>
        <scheme val="minor"/>
      </rPr>
      <t>For SI 1 lac</t>
    </r>
    <r>
      <rPr>
        <sz val="11"/>
        <color theme="1"/>
        <rFont val="Calibri"/>
        <family val="2"/>
        <scheme val="minor"/>
      </rPr>
      <t xml:space="preserve"> -  Rs. 2,000 for Normal, Rs. 4,000 for ICU
</t>
    </r>
    <r>
      <rPr>
        <b/>
        <sz val="11"/>
        <color theme="5" tint="-0.249977111117893"/>
        <rFont val="Calibri"/>
        <family val="2"/>
        <scheme val="minor"/>
      </rPr>
      <t>For SI 2 lac/ 3 lac</t>
    </r>
    <r>
      <rPr>
        <sz val="11"/>
        <color theme="1"/>
        <rFont val="Calibri"/>
        <family val="2"/>
        <scheme val="minor"/>
      </rPr>
      <t xml:space="preserve"> - Rs. 5,000 for Normal, Rs. 10,000 for ICU
</t>
    </r>
    <r>
      <rPr>
        <b/>
        <sz val="11"/>
        <color theme="5" tint="-0.249977111117893"/>
        <rFont val="Calibri"/>
        <family val="2"/>
        <scheme val="minor"/>
      </rPr>
      <t>For SI 5 lac</t>
    </r>
    <r>
      <rPr>
        <sz val="11"/>
        <color theme="1"/>
        <rFont val="Calibri"/>
        <family val="2"/>
        <scheme val="minor"/>
      </rPr>
      <t xml:space="preserve"> - Single Private AC</t>
    </r>
  </si>
  <si>
    <t>• 50% Co-Pay for Cyber Knife treatment, Gamma Knife treatment, Robotic Surgery
• 50% Co Pay for Stem Cell Transplantation
• Lasik covered above +/- 6.5
• Terrorism is covered</t>
  </si>
  <si>
    <t>Max Lives</t>
  </si>
  <si>
    <t>100 lives</t>
  </si>
  <si>
    <t>7 lives</t>
  </si>
  <si>
    <t>Corporates which have employer employee relationship (7-100 lives)</t>
  </si>
  <si>
    <t>Relationship</t>
  </si>
  <si>
    <t>Employer-Employee Group</t>
  </si>
  <si>
    <t>Each Client</t>
  </si>
  <si>
    <t>Commission %</t>
  </si>
  <si>
    <t>Mark-up upto 25%</t>
  </si>
  <si>
    <t>Endorsements Calculation</t>
  </si>
  <si>
    <t>Annual Basis</t>
  </si>
  <si>
    <t>Pro-rata Basis</t>
  </si>
  <si>
    <t>Graded Sum Insured</t>
  </si>
  <si>
    <t>Not Permissible</t>
  </si>
  <si>
    <r>
      <t>1. PAN
2. GST
3. Proposal Form
4. Member Data
5. Canceled Cheque
6. Expired policy copy (applicable f</t>
    </r>
    <r>
      <rPr>
        <sz val="11"/>
        <rFont val="Calibri"/>
        <family val="2"/>
        <scheme val="minor"/>
      </rPr>
      <t>or renewal cases)
7. Claims History
8. Declaration of all employees are covered 
(maintained by HS)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9. Spoc Details</t>
    </r>
  </si>
  <si>
    <t xml:space="preserve"> NIL </t>
  </si>
  <si>
    <r>
      <rPr>
        <b/>
        <sz val="11"/>
        <color rgb="FF00B050"/>
        <rFont val="Calibri"/>
        <family val="2"/>
        <scheme val="minor"/>
      </rPr>
      <t>Nil for 10 or more employees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5" tint="-0.249977111117893"/>
        <rFont val="Calibri"/>
        <family val="2"/>
        <scheme val="minor"/>
      </rPr>
      <t>(1 year waiting period for organization &lt; 10 employes)</t>
    </r>
  </si>
  <si>
    <t>Loadings for maternity to be added to premium rates, basis corresponding age bands (appicable for only female self and female spouse)</t>
  </si>
  <si>
    <t>[6-17]</t>
  </si>
  <si>
    <t>18 - 60 years entry age
Can renew upto 65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</si>
</sst>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1C5A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F3ED"/>
        <bgColor indexed="64"/>
      </patternFill>
    </fill>
    <fill>
      <patternFill patternType="solid">
        <fgColor rgb="FFF2663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vertical="top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8" fillId="5" borderId="1" xfId="0" applyFont="1" applyFill="1" applyBorder="1" applyAlignment="1">
      <alignment vertical="top"/>
    </xf>
    <xf numFmtId="0" fontId="8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8" fillId="6" borderId="1" xfId="0" applyFont="1" applyFill="1" applyBorder="1" applyAlignment="1">
      <alignment vertical="top"/>
    </xf>
    <xf numFmtId="0" fontId="8" fillId="6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9" fontId="12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9" fontId="1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0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0" borderId="1" xfId="0" applyBorder="1"/>
    <xf numFmtId="0" fontId="14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left"/>
    </xf>
    <xf numFmtId="9" fontId="2" fillId="0" borderId="3" xfId="0" applyNumberFormat="1" applyFont="1" applyBorder="1" applyAlignment="1">
      <alignment horizontal="center"/>
    </xf>
    <xf numFmtId="3" fontId="0" fillId="0" borderId="0" xfId="0" applyNumberFormat="1"/>
    <xf numFmtId="0" fontId="2" fillId="8" borderId="1" xfId="0" applyFont="1" applyFill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7" xfId="0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0" fontId="2" fillId="0" borderId="1" xfId="0" applyNumberFormat="1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</xf>
    <xf numFmtId="9" fontId="0" fillId="0" borderId="1" xfId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9" fontId="0" fillId="9" borderId="1" xfId="1" applyFont="1" applyFill="1" applyBorder="1" applyAlignment="1">
      <alignment horizontal="center"/>
    </xf>
    <xf numFmtId="164" fontId="2" fillId="0" borderId="0" xfId="2" applyFont="1"/>
    <xf numFmtId="164" fontId="2" fillId="0" borderId="0" xfId="0" applyNumberFormat="1" applyFont="1"/>
    <xf numFmtId="3" fontId="0" fillId="0" borderId="0" xfId="0" applyNumberFormat="1" applyAlignment="1">
      <alignment horizontal="center"/>
    </xf>
    <xf numFmtId="0" fontId="15" fillId="0" borderId="1" xfId="0" applyFont="1" applyBorder="1" applyAlignment="1">
      <alignment horizontal="center" wrapText="1"/>
    </xf>
    <xf numFmtId="164" fontId="0" fillId="0" borderId="0" xfId="2" applyFont="1" applyAlignment="1">
      <alignment horizontal="center"/>
    </xf>
    <xf numFmtId="0" fontId="0" fillId="8" borderId="1" xfId="0" applyFill="1" applyBorder="1" applyAlignment="1">
      <alignment horizontal="center" vertical="top"/>
    </xf>
    <xf numFmtId="15" fontId="8" fillId="2" borderId="1" xfId="0" applyNumberFormat="1" applyFont="1" applyFill="1" applyBorder="1" applyAlignment="1">
      <alignment horizontal="left" vertical="center"/>
    </xf>
    <xf numFmtId="15" fontId="8" fillId="2" borderId="5" xfId="0" applyNumberFormat="1" applyFont="1" applyFill="1" applyBorder="1" applyAlignment="1">
      <alignment horizontal="center" vertical="center" wrapText="1"/>
    </xf>
    <xf numFmtId="15" fontId="8" fillId="2" borderId="6" xfId="0" applyNumberFormat="1" applyFont="1" applyFill="1" applyBorder="1" applyAlignment="1">
      <alignment horizontal="center" vertical="center" wrapText="1"/>
    </xf>
    <xf numFmtId="15" fontId="8" fillId="2" borderId="7" xfId="0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3125-5D1D-4639-8EDC-CDF100026F69}">
  <sheetPr>
    <tabColor theme="4" tint="0.59999389629810485"/>
  </sheetPr>
  <dimension ref="B3:D22"/>
  <sheetViews>
    <sheetView showGridLines="0" zoomScale="90" zoomScaleNormal="90" workbookViewId="0">
      <pane xSplit="2" ySplit="4" topLeftCell="C15" activePane="bottomRight" state="frozen"/>
      <selection pane="topRight" activeCell="C1" sqref="C1"/>
      <selection pane="bottomLeft" activeCell="A7" sqref="A7"/>
      <selection pane="bottomRight" activeCell="C16" sqref="C16"/>
    </sheetView>
  </sheetViews>
  <sheetFormatPr defaultRowHeight="14.4" x14ac:dyDescent="0.3"/>
  <cols>
    <col min="2" max="2" width="39.5546875" customWidth="1"/>
    <col min="3" max="3" width="50.5546875" customWidth="1"/>
    <col min="4" max="4" width="33.44140625" customWidth="1"/>
  </cols>
  <sheetData>
    <row r="3" spans="2:3" x14ac:dyDescent="0.3">
      <c r="B3" s="22" t="s">
        <v>0</v>
      </c>
      <c r="C3" s="23"/>
    </row>
    <row r="4" spans="2:3" x14ac:dyDescent="0.3">
      <c r="B4" s="57" t="s">
        <v>175</v>
      </c>
      <c r="C4" s="60" t="s">
        <v>176</v>
      </c>
    </row>
    <row r="5" spans="2:3" ht="28.8" x14ac:dyDescent="0.3">
      <c r="B5" s="58" t="s">
        <v>1</v>
      </c>
      <c r="C5" s="59" t="s">
        <v>174</v>
      </c>
    </row>
    <row r="6" spans="2:3" x14ac:dyDescent="0.3">
      <c r="B6" s="2" t="s">
        <v>2</v>
      </c>
      <c r="C6" s="3" t="s">
        <v>177</v>
      </c>
    </row>
    <row r="7" spans="2:3" x14ac:dyDescent="0.3">
      <c r="B7" s="2" t="s">
        <v>3</v>
      </c>
      <c r="C7" s="1" t="s">
        <v>4</v>
      </c>
    </row>
    <row r="8" spans="2:3" x14ac:dyDescent="0.3">
      <c r="B8" s="25" t="s">
        <v>5</v>
      </c>
      <c r="C8" s="26"/>
    </row>
    <row r="9" spans="2:3" x14ac:dyDescent="0.3">
      <c r="B9" s="2" t="s">
        <v>6</v>
      </c>
      <c r="C9" s="3" t="s">
        <v>7</v>
      </c>
    </row>
    <row r="10" spans="2:3" x14ac:dyDescent="0.3">
      <c r="B10" s="2" t="s">
        <v>8</v>
      </c>
      <c r="C10" s="3" t="s">
        <v>9</v>
      </c>
    </row>
    <row r="11" spans="2:3" x14ac:dyDescent="0.3">
      <c r="B11" s="61" t="s">
        <v>10</v>
      </c>
      <c r="C11" s="3" t="s">
        <v>11</v>
      </c>
    </row>
    <row r="12" spans="2:3" x14ac:dyDescent="0.3">
      <c r="B12" s="2" t="s">
        <v>12</v>
      </c>
      <c r="C12" s="3" t="s">
        <v>181</v>
      </c>
    </row>
    <row r="13" spans="2:3" x14ac:dyDescent="0.3">
      <c r="B13" s="2" t="s">
        <v>13</v>
      </c>
      <c r="C13" s="1" t="s">
        <v>173</v>
      </c>
    </row>
    <row r="14" spans="2:3" x14ac:dyDescent="0.3">
      <c r="B14" s="2" t="s">
        <v>171</v>
      </c>
      <c r="C14" s="1" t="s">
        <v>172</v>
      </c>
    </row>
    <row r="15" spans="2:3" ht="28.8" x14ac:dyDescent="0.3">
      <c r="B15" s="2" t="s">
        <v>14</v>
      </c>
      <c r="C15" s="1" t="s">
        <v>15</v>
      </c>
    </row>
    <row r="16" spans="2:3" x14ac:dyDescent="0.3">
      <c r="B16" s="2" t="s">
        <v>183</v>
      </c>
      <c r="C16" s="1" t="s">
        <v>184</v>
      </c>
    </row>
    <row r="17" spans="2:4" x14ac:dyDescent="0.3">
      <c r="B17" s="2" t="s">
        <v>178</v>
      </c>
      <c r="C17" s="76" t="s">
        <v>179</v>
      </c>
    </row>
    <row r="18" spans="2:4" ht="90.6" customHeight="1" x14ac:dyDescent="0.3">
      <c r="B18" s="2" t="s">
        <v>16</v>
      </c>
      <c r="C18" s="1" t="s">
        <v>168</v>
      </c>
    </row>
    <row r="19" spans="2:4" x14ac:dyDescent="0.3">
      <c r="B19" s="25" t="s">
        <v>17</v>
      </c>
      <c r="C19" s="26"/>
    </row>
    <row r="20" spans="2:4" x14ac:dyDescent="0.3">
      <c r="B20" s="62" t="s">
        <v>180</v>
      </c>
      <c r="C20" s="1" t="s">
        <v>182</v>
      </c>
      <c r="D20" s="49"/>
    </row>
    <row r="21" spans="2:4" ht="144" x14ac:dyDescent="0.3">
      <c r="B21" s="2" t="s">
        <v>18</v>
      </c>
      <c r="C21" s="1" t="s">
        <v>185</v>
      </c>
      <c r="D21" s="50"/>
    </row>
    <row r="22" spans="2:4" ht="28.8" x14ac:dyDescent="0.3">
      <c r="B22" s="2" t="s">
        <v>19</v>
      </c>
      <c r="C22" s="1" t="s">
        <v>20</v>
      </c>
      <c r="D22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AFFB-839C-45D3-9F2D-E339244192ED}">
  <sheetPr>
    <tabColor theme="9" tint="0.59999389629810485"/>
  </sheetPr>
  <dimension ref="B2:C32"/>
  <sheetViews>
    <sheetView showGridLines="0" tabSelected="1" topLeftCell="A14" zoomScale="109" workbookViewId="0">
      <selection activeCell="C16" sqref="C16"/>
    </sheetView>
  </sheetViews>
  <sheetFormatPr defaultRowHeight="14.4" x14ac:dyDescent="0.3"/>
  <cols>
    <col min="2" max="2" width="38.88671875" customWidth="1"/>
    <col min="3" max="3" width="58.5546875" customWidth="1"/>
  </cols>
  <sheetData>
    <row r="2" spans="2:3" x14ac:dyDescent="0.3">
      <c r="B2" s="77" t="s">
        <v>21</v>
      </c>
      <c r="C2" s="78" t="s">
        <v>22</v>
      </c>
    </row>
    <row r="3" spans="2:3" x14ac:dyDescent="0.3">
      <c r="B3" s="77"/>
      <c r="C3" s="79"/>
    </row>
    <row r="4" spans="2:3" x14ac:dyDescent="0.3">
      <c r="B4" s="77"/>
      <c r="C4" s="80"/>
    </row>
    <row r="5" spans="2:3" ht="43.2" x14ac:dyDescent="0.3">
      <c r="B5" s="11" t="s">
        <v>23</v>
      </c>
      <c r="C5" s="12" t="s">
        <v>24</v>
      </c>
    </row>
    <row r="6" spans="2:3" ht="28.8" x14ac:dyDescent="0.3">
      <c r="B6" s="11" t="s">
        <v>25</v>
      </c>
      <c r="C6" s="12" t="s">
        <v>190</v>
      </c>
    </row>
    <row r="7" spans="2:3" x14ac:dyDescent="0.3">
      <c r="B7" s="11" t="s">
        <v>12</v>
      </c>
      <c r="C7" s="13" t="s">
        <v>26</v>
      </c>
    </row>
    <row r="8" spans="2:3" x14ac:dyDescent="0.3">
      <c r="B8" s="11" t="s">
        <v>27</v>
      </c>
      <c r="C8" s="12" t="s">
        <v>28</v>
      </c>
    </row>
    <row r="9" spans="2:3" x14ac:dyDescent="0.3">
      <c r="B9" s="14" t="s">
        <v>29</v>
      </c>
      <c r="C9" s="12" t="s">
        <v>30</v>
      </c>
    </row>
    <row r="10" spans="2:3" x14ac:dyDescent="0.3">
      <c r="B10" s="11" t="s">
        <v>31</v>
      </c>
      <c r="C10" s="12" t="s">
        <v>32</v>
      </c>
    </row>
    <row r="11" spans="2:3" ht="43.2" x14ac:dyDescent="0.3">
      <c r="B11" s="11" t="s">
        <v>33</v>
      </c>
      <c r="C11" s="12" t="s">
        <v>169</v>
      </c>
    </row>
    <row r="12" spans="2:3" ht="28.8" x14ac:dyDescent="0.3">
      <c r="B12" s="11" t="s">
        <v>34</v>
      </c>
      <c r="C12" s="12" t="s">
        <v>35</v>
      </c>
    </row>
    <row r="13" spans="2:3" x14ac:dyDescent="0.3">
      <c r="B13" s="11" t="s">
        <v>36</v>
      </c>
      <c r="C13" s="15" t="s">
        <v>37</v>
      </c>
    </row>
    <row r="14" spans="2:3" ht="28.8" x14ac:dyDescent="0.3">
      <c r="B14" s="14" t="s">
        <v>38</v>
      </c>
      <c r="C14" s="16" t="s">
        <v>39</v>
      </c>
    </row>
    <row r="15" spans="2:3" x14ac:dyDescent="0.3">
      <c r="B15" s="11" t="s">
        <v>40</v>
      </c>
      <c r="C15" s="12" t="s">
        <v>186</v>
      </c>
    </row>
    <row r="16" spans="2:3" ht="28.8" x14ac:dyDescent="0.3">
      <c r="B16" s="11" t="s">
        <v>41</v>
      </c>
      <c r="C16" s="12" t="s">
        <v>187</v>
      </c>
    </row>
    <row r="17" spans="2:3" ht="28.8" x14ac:dyDescent="0.3">
      <c r="B17" s="11" t="s">
        <v>42</v>
      </c>
      <c r="C17" s="12" t="s">
        <v>187</v>
      </c>
    </row>
    <row r="18" spans="2:3" ht="28.8" x14ac:dyDescent="0.3">
      <c r="B18" s="11" t="s">
        <v>43</v>
      </c>
      <c r="C18" s="17" t="s">
        <v>44</v>
      </c>
    </row>
    <row r="19" spans="2:3" x14ac:dyDescent="0.3">
      <c r="B19" s="11" t="s">
        <v>45</v>
      </c>
      <c r="C19" s="63" t="s">
        <v>46</v>
      </c>
    </row>
    <row r="20" spans="2:3" ht="24.6" x14ac:dyDescent="0.3">
      <c r="B20" s="11" t="s">
        <v>47</v>
      </c>
      <c r="C20" s="12" t="s">
        <v>48</v>
      </c>
    </row>
    <row r="21" spans="2:3" x14ac:dyDescent="0.3">
      <c r="B21" s="11" t="s">
        <v>49</v>
      </c>
      <c r="C21" s="17" t="s">
        <v>50</v>
      </c>
    </row>
    <row r="22" spans="2:3" x14ac:dyDescent="0.3">
      <c r="B22" s="11" t="s">
        <v>51</v>
      </c>
      <c r="C22" s="17" t="s">
        <v>52</v>
      </c>
    </row>
    <row r="23" spans="2:3" x14ac:dyDescent="0.3">
      <c r="B23" s="11" t="s">
        <v>53</v>
      </c>
      <c r="C23" s="17" t="s">
        <v>54</v>
      </c>
    </row>
    <row r="24" spans="2:3" x14ac:dyDescent="0.3">
      <c r="B24" s="11" t="s">
        <v>55</v>
      </c>
      <c r="C24" s="17" t="s">
        <v>56</v>
      </c>
    </row>
    <row r="25" spans="2:3" x14ac:dyDescent="0.3">
      <c r="B25" s="11" t="s">
        <v>57</v>
      </c>
      <c r="C25" s="17" t="s">
        <v>58</v>
      </c>
    </row>
    <row r="26" spans="2:3" x14ac:dyDescent="0.3">
      <c r="B26" s="11" t="s">
        <v>59</v>
      </c>
      <c r="C26" s="17" t="s">
        <v>60</v>
      </c>
    </row>
    <row r="27" spans="2:3" x14ac:dyDescent="0.3">
      <c r="B27" s="11" t="s">
        <v>61</v>
      </c>
      <c r="C27" s="17" t="s">
        <v>60</v>
      </c>
    </row>
    <row r="28" spans="2:3" x14ac:dyDescent="0.3">
      <c r="B28" s="11" t="s">
        <v>62</v>
      </c>
      <c r="C28" s="17" t="s">
        <v>60</v>
      </c>
    </row>
    <row r="29" spans="2:3" x14ac:dyDescent="0.3">
      <c r="B29" s="11" t="s">
        <v>63</v>
      </c>
      <c r="C29" s="17" t="s">
        <v>60</v>
      </c>
    </row>
    <row r="30" spans="2:3" x14ac:dyDescent="0.3">
      <c r="B30" s="11" t="s">
        <v>64</v>
      </c>
      <c r="C30" s="17" t="s">
        <v>60</v>
      </c>
    </row>
    <row r="31" spans="2:3" x14ac:dyDescent="0.3">
      <c r="B31" s="11" t="s">
        <v>65</v>
      </c>
      <c r="C31" s="17" t="s">
        <v>66</v>
      </c>
    </row>
    <row r="32" spans="2:3" ht="72" x14ac:dyDescent="0.3">
      <c r="B32" s="11" t="s">
        <v>67</v>
      </c>
      <c r="C32" s="1" t="s">
        <v>170</v>
      </c>
    </row>
  </sheetData>
  <mergeCells count="2">
    <mergeCell ref="B2:B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2A25-C5D2-4BE7-9A25-68FEDBE6289C}">
  <sheetPr>
    <tabColor theme="9" tint="0.59999389629810485"/>
  </sheetPr>
  <dimension ref="A1:L15"/>
  <sheetViews>
    <sheetView showGridLines="0" topLeftCell="A3" zoomScale="160" zoomScaleNormal="100" workbookViewId="0">
      <selection activeCell="E7" sqref="E7:E13"/>
    </sheetView>
  </sheetViews>
  <sheetFormatPr defaultRowHeight="14.4" x14ac:dyDescent="0.3"/>
  <cols>
    <col min="2" max="2" width="22.109375" style="18" customWidth="1"/>
    <col min="3" max="3" width="14.5546875" style="27" customWidth="1"/>
    <col min="4" max="4" width="9.5546875" bestFit="1" customWidth="1"/>
    <col min="5" max="5" width="20.44140625" bestFit="1" customWidth="1"/>
    <col min="6" max="6" width="9.5546875" bestFit="1" customWidth="1"/>
    <col min="8" max="8" width="10.109375" bestFit="1" customWidth="1"/>
    <col min="9" max="9" width="11.88671875" bestFit="1" customWidth="1"/>
    <col min="10" max="10" width="10.109375" bestFit="1" customWidth="1"/>
    <col min="12" max="12" width="9.109375" bestFit="1" customWidth="1"/>
  </cols>
  <sheetData>
    <row r="1" spans="1:12" x14ac:dyDescent="0.3">
      <c r="A1" s="20" t="s">
        <v>167</v>
      </c>
    </row>
    <row r="3" spans="1:12" x14ac:dyDescent="0.3">
      <c r="B3" s="24" t="s">
        <v>23</v>
      </c>
      <c r="C3" s="19" t="s">
        <v>68</v>
      </c>
    </row>
    <row r="4" spans="1:12" x14ac:dyDescent="0.3">
      <c r="B4" s="29"/>
    </row>
    <row r="5" spans="1:12" s="30" customFormat="1" ht="13.8" x14ac:dyDescent="0.3">
      <c r="B5" s="31" t="s">
        <v>69</v>
      </c>
      <c r="C5" s="32">
        <v>0</v>
      </c>
      <c r="D5" s="33" t="s">
        <v>179</v>
      </c>
    </row>
    <row r="6" spans="1:12" s="30" customFormat="1" ht="13.8" x14ac:dyDescent="0.3">
      <c r="B6" s="33"/>
      <c r="C6" s="34"/>
    </row>
    <row r="7" spans="1:12" s="27" customFormat="1" x14ac:dyDescent="0.3">
      <c r="A7"/>
      <c r="B7" s="24" t="s">
        <v>70</v>
      </c>
      <c r="C7" s="35">
        <v>100000</v>
      </c>
      <c r="D7" s="35">
        <v>200000</v>
      </c>
      <c r="E7" s="35">
        <v>300000</v>
      </c>
      <c r="F7" s="35">
        <v>500000</v>
      </c>
    </row>
    <row r="8" spans="1:12" s="27" customFormat="1" x14ac:dyDescent="0.3">
      <c r="A8"/>
      <c r="B8" s="24" t="s">
        <v>71</v>
      </c>
      <c r="C8" s="36">
        <v>1182</v>
      </c>
      <c r="D8" s="36">
        <v>1633</v>
      </c>
      <c r="E8" s="36">
        <v>2100</v>
      </c>
      <c r="F8" s="36">
        <v>2969</v>
      </c>
      <c r="H8" s="75"/>
      <c r="I8" s="75"/>
      <c r="J8" s="75"/>
      <c r="K8" s="75"/>
      <c r="L8" s="75"/>
    </row>
    <row r="9" spans="1:12" s="27" customFormat="1" x14ac:dyDescent="0.3">
      <c r="A9"/>
      <c r="B9" s="24" t="s">
        <v>72</v>
      </c>
      <c r="C9" s="36">
        <v>1580</v>
      </c>
      <c r="D9" s="36">
        <v>2178</v>
      </c>
      <c r="E9" s="36">
        <v>2794</v>
      </c>
      <c r="F9" s="36">
        <v>3944</v>
      </c>
      <c r="H9" s="75">
        <f>E9*21</f>
        <v>58674</v>
      </c>
      <c r="I9" s="75">
        <v>32727</v>
      </c>
      <c r="J9" s="75"/>
      <c r="K9" s="75"/>
      <c r="L9" s="75"/>
    </row>
    <row r="10" spans="1:12" s="27" customFormat="1" x14ac:dyDescent="0.3">
      <c r="A10"/>
      <c r="B10" s="24" t="s">
        <v>73</v>
      </c>
      <c r="C10" s="36">
        <v>2184</v>
      </c>
      <c r="D10" s="36">
        <v>3004</v>
      </c>
      <c r="E10" s="36">
        <v>3846</v>
      </c>
      <c r="F10" s="36">
        <v>5424</v>
      </c>
      <c r="H10" s="75">
        <f>H9*1.25</f>
        <v>73342.5</v>
      </c>
      <c r="I10" s="75">
        <f>H9+I9</f>
        <v>91401</v>
      </c>
      <c r="J10" s="75"/>
      <c r="K10" s="75"/>
      <c r="L10" s="75"/>
    </row>
    <row r="11" spans="1:12" s="27" customFormat="1" x14ac:dyDescent="0.3">
      <c r="A11"/>
      <c r="B11" s="24" t="s">
        <v>74</v>
      </c>
      <c r="C11" s="36">
        <v>2841</v>
      </c>
      <c r="D11" s="36">
        <v>3903</v>
      </c>
      <c r="E11" s="36">
        <v>4992</v>
      </c>
      <c r="F11" s="36">
        <v>7034</v>
      </c>
      <c r="H11" s="75"/>
      <c r="I11" s="75">
        <f>I10*1.25</f>
        <v>114251.25</v>
      </c>
      <c r="J11" s="75"/>
      <c r="K11" s="75"/>
      <c r="L11" s="75"/>
    </row>
    <row r="12" spans="1:12" s="27" customFormat="1" x14ac:dyDescent="0.3">
      <c r="A12"/>
      <c r="B12" s="24" t="s">
        <v>75</v>
      </c>
      <c r="C12" s="36">
        <v>3602</v>
      </c>
      <c r="D12" s="36">
        <v>4946</v>
      </c>
      <c r="E12" s="36">
        <v>6319</v>
      </c>
      <c r="F12" s="36">
        <v>8900</v>
      </c>
      <c r="H12" s="75"/>
      <c r="I12" s="75">
        <f>I10/0.75</f>
        <v>121868</v>
      </c>
      <c r="J12" s="75"/>
      <c r="K12" s="75"/>
      <c r="L12" s="75"/>
    </row>
    <row r="13" spans="1:12" s="27" customFormat="1" x14ac:dyDescent="0.3">
      <c r="A13"/>
      <c r="B13" s="24" t="s">
        <v>76</v>
      </c>
      <c r="C13" s="36">
        <v>4854</v>
      </c>
      <c r="D13" s="36">
        <v>6660</v>
      </c>
      <c r="E13" s="36">
        <v>8503</v>
      </c>
      <c r="F13" s="36">
        <v>11970</v>
      </c>
      <c r="H13" s="75"/>
      <c r="I13" s="75"/>
      <c r="J13" s="75"/>
      <c r="K13" s="75"/>
      <c r="L13" s="75"/>
    </row>
    <row r="15" spans="1:12" x14ac:dyDescent="0.3">
      <c r="C15" s="37"/>
      <c r="E15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03A-24D2-4867-9F46-D9997290D82D}">
  <sheetPr>
    <tabColor theme="9" tint="0.59999389629810485"/>
  </sheetPr>
  <dimension ref="A1:K21"/>
  <sheetViews>
    <sheetView showGridLines="0" topLeftCell="A4" zoomScale="130" zoomScaleNormal="90" workbookViewId="0">
      <selection activeCell="G12" sqref="G12"/>
    </sheetView>
  </sheetViews>
  <sheetFormatPr defaultRowHeight="14.4" x14ac:dyDescent="0.3"/>
  <cols>
    <col min="2" max="2" width="22.44140625" style="18" bestFit="1" customWidth="1"/>
    <col min="3" max="3" width="26.44140625" style="27" customWidth="1"/>
    <col min="4" max="6" width="9.5546875" bestFit="1" customWidth="1"/>
  </cols>
  <sheetData>
    <row r="1" spans="1:11" x14ac:dyDescent="0.3">
      <c r="A1" s="20" t="s">
        <v>167</v>
      </c>
    </row>
    <row r="2" spans="1:11" x14ac:dyDescent="0.3">
      <c r="A2" s="20"/>
    </row>
    <row r="3" spans="1:11" s="28" customFormat="1" ht="28.8" x14ac:dyDescent="0.3">
      <c r="B3" s="38" t="s">
        <v>23</v>
      </c>
      <c r="C3" s="12" t="s">
        <v>77</v>
      </c>
    </row>
    <row r="4" spans="1:11" x14ac:dyDescent="0.3">
      <c r="B4" s="29"/>
    </row>
    <row r="5" spans="1:11" s="30" customFormat="1" ht="13.8" x14ac:dyDescent="0.3">
      <c r="B5" s="31" t="s">
        <v>69</v>
      </c>
      <c r="C5" s="32">
        <v>0</v>
      </c>
      <c r="D5" s="33" t="s">
        <v>179</v>
      </c>
    </row>
    <row r="6" spans="1:11" s="30" customFormat="1" ht="13.8" x14ac:dyDescent="0.3">
      <c r="B6" s="39"/>
    </row>
    <row r="7" spans="1:11" s="27" customFormat="1" x14ac:dyDescent="0.3">
      <c r="A7"/>
      <c r="B7" s="24" t="s">
        <v>70</v>
      </c>
      <c r="C7" s="35">
        <v>100000</v>
      </c>
      <c r="D7" s="35">
        <v>200000</v>
      </c>
      <c r="E7" s="35">
        <v>300000</v>
      </c>
      <c r="F7" s="35">
        <v>500000</v>
      </c>
    </row>
    <row r="8" spans="1:11" s="27" customFormat="1" x14ac:dyDescent="0.3">
      <c r="A8"/>
      <c r="B8" s="24" t="s">
        <v>78</v>
      </c>
      <c r="C8" s="36">
        <v>1878</v>
      </c>
      <c r="D8" s="36">
        <v>2583</v>
      </c>
      <c r="E8" s="36">
        <v>3310</v>
      </c>
      <c r="F8" s="36">
        <v>4666</v>
      </c>
      <c r="H8" s="73"/>
      <c r="I8" s="73"/>
      <c r="J8" s="73"/>
      <c r="K8" s="73"/>
    </row>
    <row r="9" spans="1:11" s="27" customFormat="1" x14ac:dyDescent="0.3">
      <c r="A9"/>
      <c r="B9" s="24" t="s">
        <v>189</v>
      </c>
      <c r="C9" s="36">
        <v>996</v>
      </c>
      <c r="D9" s="36">
        <v>1377</v>
      </c>
      <c r="E9" s="36">
        <v>1775</v>
      </c>
      <c r="F9" s="36">
        <v>2510</v>
      </c>
      <c r="H9" s="73"/>
      <c r="I9" s="73"/>
      <c r="J9" s="73"/>
      <c r="K9" s="73"/>
    </row>
    <row r="10" spans="1:11" s="27" customFormat="1" x14ac:dyDescent="0.3">
      <c r="A10"/>
      <c r="B10" s="24" t="s">
        <v>71</v>
      </c>
      <c r="C10" s="36">
        <f>ROUND('Pricing E only'!C8*1.2,0)</f>
        <v>1418</v>
      </c>
      <c r="D10" s="36">
        <f>ROUND('Pricing E only'!D8*1.2,0)</f>
        <v>1960</v>
      </c>
      <c r="E10" s="36">
        <f>ROUND('Pricing E only'!E8*1.2,0)</f>
        <v>2520</v>
      </c>
      <c r="F10" s="36">
        <f>ROUND('Pricing E only'!F8*1.2,0)</f>
        <v>3563</v>
      </c>
      <c r="H10" s="73"/>
      <c r="I10" s="73"/>
      <c r="J10" s="73"/>
      <c r="K10" s="73"/>
    </row>
    <row r="11" spans="1:11" s="27" customFormat="1" x14ac:dyDescent="0.3">
      <c r="A11"/>
      <c r="B11" s="24" t="s">
        <v>72</v>
      </c>
      <c r="C11" s="36">
        <f>ROUND('Pricing E only'!C9*1.2,0)</f>
        <v>1896</v>
      </c>
      <c r="D11" s="36">
        <f>ROUND('Pricing E only'!D9*1.2,0)</f>
        <v>2614</v>
      </c>
      <c r="E11" s="36">
        <f>ROUND('Pricing E only'!E9*1.2,0)</f>
        <v>3353</v>
      </c>
      <c r="F11" s="36">
        <f>ROUND('Pricing E only'!F9*1.2,0)</f>
        <v>4733</v>
      </c>
      <c r="G11" s="27">
        <f>E11*21</f>
        <v>70413</v>
      </c>
      <c r="H11" s="73"/>
      <c r="I11" s="73"/>
      <c r="J11" s="73"/>
      <c r="K11" s="73"/>
    </row>
    <row r="12" spans="1:11" s="27" customFormat="1" x14ac:dyDescent="0.3">
      <c r="A12"/>
      <c r="B12" s="24" t="s">
        <v>73</v>
      </c>
      <c r="C12" s="36">
        <f>ROUND('Pricing E only'!C10*1.2,0)</f>
        <v>2621</v>
      </c>
      <c r="D12" s="36">
        <f>ROUND('Pricing E only'!D10*1.2,0)</f>
        <v>3605</v>
      </c>
      <c r="E12" s="36">
        <f>ROUND('Pricing E only'!E10*1.2,0)</f>
        <v>4615</v>
      </c>
      <c r="F12" s="36">
        <f>ROUND('Pricing E only'!F10*1.2,0)</f>
        <v>6509</v>
      </c>
      <c r="G12" s="27">
        <f>E9*3</f>
        <v>5325</v>
      </c>
      <c r="H12" s="73"/>
      <c r="I12" s="73"/>
      <c r="J12" s="73"/>
      <c r="K12" s="73"/>
    </row>
    <row r="13" spans="1:11" s="27" customFormat="1" x14ac:dyDescent="0.3">
      <c r="A13"/>
      <c r="B13" s="24" t="s">
        <v>74</v>
      </c>
      <c r="C13" s="36">
        <f>ROUND('Pricing E only'!C11*1.2,0)</f>
        <v>3409</v>
      </c>
      <c r="D13" s="36">
        <f>ROUND('Pricing E only'!D11*1.2,0)</f>
        <v>4684</v>
      </c>
      <c r="E13" s="36">
        <f>ROUND('Pricing E only'!E11*1.2,0)</f>
        <v>5990</v>
      </c>
      <c r="F13" s="36">
        <f>ROUND('Pricing E only'!F11*1.2,0)</f>
        <v>8441</v>
      </c>
      <c r="G13" s="27">
        <v>32727.34031543056</v>
      </c>
      <c r="H13" s="73"/>
      <c r="I13" s="73"/>
      <c r="J13" s="73"/>
      <c r="K13" s="73"/>
    </row>
    <row r="14" spans="1:11" s="27" customFormat="1" x14ac:dyDescent="0.3">
      <c r="A14"/>
      <c r="B14" s="24" t="s">
        <v>75</v>
      </c>
      <c r="C14" s="36">
        <f>ROUND('Pricing E only'!C12*1.2,0)</f>
        <v>4322</v>
      </c>
      <c r="D14" s="36">
        <f>ROUND('Pricing E only'!D12*1.2,0)</f>
        <v>5935</v>
      </c>
      <c r="E14" s="36">
        <f>ROUND('Pricing E only'!E12*1.2,0)</f>
        <v>7583</v>
      </c>
      <c r="F14" s="36">
        <f>ROUND('Pricing E only'!F12*1.2,0)</f>
        <v>10680</v>
      </c>
      <c r="G14" s="27">
        <f>SUM(G11:G13)</f>
        <v>108465.34031543056</v>
      </c>
      <c r="H14" s="73"/>
      <c r="I14" s="73"/>
      <c r="J14" s="73"/>
      <c r="K14" s="73"/>
    </row>
    <row r="15" spans="1:11" s="27" customFormat="1" x14ac:dyDescent="0.3">
      <c r="A15"/>
      <c r="B15" s="24" t="s">
        <v>76</v>
      </c>
      <c r="C15" s="36">
        <f>ROUND('Pricing E only'!C13*1.2,0)</f>
        <v>5825</v>
      </c>
      <c r="D15" s="36">
        <f>ROUND('Pricing E only'!D13*1.2,0)</f>
        <v>7992</v>
      </c>
      <c r="E15" s="36">
        <f>ROUND('Pricing E only'!E13*1.2,0)</f>
        <v>10204</v>
      </c>
      <c r="F15" s="36">
        <f>ROUND('Pricing E only'!F13*1.2,0)</f>
        <v>14364</v>
      </c>
      <c r="G15" s="27">
        <f>G14/0.75</f>
        <v>144620.45375390741</v>
      </c>
      <c r="H15" s="73"/>
      <c r="I15" s="73"/>
      <c r="J15" s="73"/>
      <c r="K15" s="73"/>
    </row>
    <row r="18" spans="2:7" x14ac:dyDescent="0.3">
      <c r="B18" s="71"/>
    </row>
    <row r="19" spans="2:7" x14ac:dyDescent="0.3">
      <c r="B19" s="72"/>
      <c r="E19" s="56"/>
      <c r="F19" s="56"/>
      <c r="G19" s="56"/>
    </row>
    <row r="21" spans="2:7" x14ac:dyDescent="0.3">
      <c r="E21" s="56"/>
      <c r="F21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8FEE-418B-40F1-BCB1-74445828A0FC}">
  <sheetPr>
    <tabColor theme="9" tint="0.59999389629810485"/>
  </sheetPr>
  <dimension ref="A1:G35"/>
  <sheetViews>
    <sheetView showGridLines="0" zoomScale="103" zoomScaleNormal="100" workbookViewId="0">
      <selection activeCell="D10" sqref="D10"/>
    </sheetView>
  </sheetViews>
  <sheetFormatPr defaultColWidth="9.109375" defaultRowHeight="14.4" x14ac:dyDescent="0.3"/>
  <cols>
    <col min="1" max="1" width="9.109375" style="27"/>
    <col min="2" max="2" width="41.44140625" style="21" bestFit="1" customWidth="1"/>
    <col min="3" max="3" width="17.44140625" style="27" customWidth="1"/>
    <col min="4" max="4" width="15.44140625" style="27" customWidth="1"/>
    <col min="5" max="5" width="13.109375" style="27" customWidth="1"/>
    <col min="6" max="6" width="15.5546875" style="27" customWidth="1"/>
    <col min="7" max="16384" width="9.109375" style="27"/>
  </cols>
  <sheetData>
    <row r="1" spans="1:7" x14ac:dyDescent="0.3">
      <c r="B1" s="40" t="s">
        <v>79</v>
      </c>
    </row>
    <row r="2" spans="1:7" x14ac:dyDescent="0.3">
      <c r="A2" s="40"/>
    </row>
    <row r="3" spans="1:7" x14ac:dyDescent="0.3">
      <c r="B3" s="41" t="s">
        <v>80</v>
      </c>
      <c r="C3" s="39"/>
      <c r="D3" s="39"/>
      <c r="E3" s="39"/>
      <c r="F3" s="30"/>
    </row>
    <row r="4" spans="1:7" x14ac:dyDescent="0.3">
      <c r="B4" s="40" t="s">
        <v>188</v>
      </c>
      <c r="C4" s="39"/>
      <c r="D4" s="39"/>
      <c r="E4" s="39"/>
      <c r="F4" s="30"/>
    </row>
    <row r="5" spans="1:7" x14ac:dyDescent="0.3">
      <c r="B5" s="40"/>
      <c r="C5" s="39"/>
      <c r="D5" s="39"/>
      <c r="E5" s="39"/>
      <c r="F5" s="30"/>
    </row>
    <row r="6" spans="1:7" x14ac:dyDescent="0.3">
      <c r="B6" s="54" t="s">
        <v>69</v>
      </c>
      <c r="C6" s="55">
        <v>0</v>
      </c>
      <c r="D6" s="51"/>
      <c r="E6" s="51"/>
      <c r="F6"/>
    </row>
    <row r="7" spans="1:7" x14ac:dyDescent="0.3">
      <c r="B7" s="29"/>
      <c r="C7" s="51"/>
      <c r="D7" s="51"/>
      <c r="E7" s="51"/>
      <c r="F7"/>
    </row>
    <row r="8" spans="1:7" x14ac:dyDescent="0.3">
      <c r="B8" s="24" t="s">
        <v>81</v>
      </c>
      <c r="C8" s="35">
        <v>35000</v>
      </c>
      <c r="D8" s="35">
        <v>50000</v>
      </c>
      <c r="E8" s="35">
        <v>75000</v>
      </c>
      <c r="F8" s="51"/>
    </row>
    <row r="9" spans="1:7" x14ac:dyDescent="0.3">
      <c r="B9" s="24" t="s">
        <v>71</v>
      </c>
      <c r="C9" s="36">
        <v>3326.0079900110409</v>
      </c>
      <c r="D9" s="36">
        <v>3778.5764669126042</v>
      </c>
      <c r="E9" s="36">
        <v>5913.1737069299661</v>
      </c>
      <c r="F9" s="51"/>
    </row>
    <row r="10" spans="1:7" x14ac:dyDescent="0.3">
      <c r="B10" s="24" t="s">
        <v>72</v>
      </c>
      <c r="C10" s="52">
        <v>3353.5711595007733</v>
      </c>
      <c r="D10" s="52">
        <v>4090.91753942882</v>
      </c>
      <c r="E10" s="52">
        <v>6542.4405438514314</v>
      </c>
      <c r="F10" s="53"/>
      <c r="G10" s="27">
        <f>D10*8</f>
        <v>32727.34031543056</v>
      </c>
    </row>
    <row r="11" spans="1:7" x14ac:dyDescent="0.3">
      <c r="B11" s="24" t="s">
        <v>73</v>
      </c>
      <c r="C11" s="52">
        <v>734.95737187029715</v>
      </c>
      <c r="D11" s="52">
        <v>844.76744915238976</v>
      </c>
      <c r="E11" s="52">
        <v>1358.4047380556913</v>
      </c>
      <c r="F11" s="53"/>
    </row>
    <row r="12" spans="1:7" x14ac:dyDescent="0.3">
      <c r="B12" s="33"/>
      <c r="C12" s="42"/>
      <c r="D12" s="42"/>
      <c r="E12" s="42"/>
      <c r="F12" s="42"/>
    </row>
    <row r="13" spans="1:7" x14ac:dyDescent="0.3">
      <c r="B13" s="33"/>
      <c r="C13" s="42"/>
      <c r="D13" s="42"/>
      <c r="E13" s="42"/>
      <c r="F13" s="42"/>
    </row>
    <row r="14" spans="1:7" x14ac:dyDescent="0.3">
      <c r="B14" s="40" t="s">
        <v>82</v>
      </c>
      <c r="C14" s="53"/>
      <c r="D14" s="53"/>
      <c r="E14" s="42"/>
      <c r="F14" s="42"/>
    </row>
    <row r="15" spans="1:7" x14ac:dyDescent="0.3">
      <c r="A15" s="40"/>
      <c r="B15" s="29"/>
      <c r="C15" s="53"/>
      <c r="D15" s="53"/>
    </row>
    <row r="16" spans="1:7" x14ac:dyDescent="0.3">
      <c r="A16" s="40"/>
      <c r="B16" s="47" t="s">
        <v>83</v>
      </c>
      <c r="C16" s="53"/>
      <c r="D16" s="53"/>
    </row>
    <row r="17" spans="2:4" x14ac:dyDescent="0.3">
      <c r="B17" s="29"/>
      <c r="C17" s="53"/>
      <c r="D17" s="53"/>
    </row>
    <row r="18" spans="2:4" x14ac:dyDescent="0.3">
      <c r="B18" s="24" t="s">
        <v>84</v>
      </c>
      <c r="C18" s="66" t="s">
        <v>85</v>
      </c>
      <c r="D18" s="53"/>
    </row>
    <row r="19" spans="2:4" x14ac:dyDescent="0.3">
      <c r="B19" s="48" t="s">
        <v>86</v>
      </c>
      <c r="C19" s="67">
        <v>0</v>
      </c>
      <c r="D19" s="53"/>
    </row>
    <row r="20" spans="2:4" x14ac:dyDescent="0.3">
      <c r="B20" s="48" t="s">
        <v>87</v>
      </c>
      <c r="C20" s="67">
        <v>0</v>
      </c>
      <c r="D20" s="53"/>
    </row>
    <row r="21" spans="2:4" x14ac:dyDescent="0.3">
      <c r="B21" s="48" t="s">
        <v>88</v>
      </c>
      <c r="C21" s="67">
        <v>0</v>
      </c>
      <c r="D21" s="53"/>
    </row>
    <row r="22" spans="2:4" x14ac:dyDescent="0.3">
      <c r="B22" s="48" t="s">
        <v>89</v>
      </c>
      <c r="C22" s="67">
        <v>0</v>
      </c>
      <c r="D22" s="53"/>
    </row>
    <row r="23" spans="2:4" x14ac:dyDescent="0.3">
      <c r="B23" s="48" t="s">
        <v>90</v>
      </c>
      <c r="C23" s="68">
        <v>0</v>
      </c>
    </row>
    <row r="24" spans="2:4" x14ac:dyDescent="0.3">
      <c r="B24" s="48" t="s">
        <v>91</v>
      </c>
      <c r="C24" s="68">
        <v>0</v>
      </c>
    </row>
    <row r="25" spans="2:4" x14ac:dyDescent="0.3">
      <c r="B25" s="48" t="s">
        <v>92</v>
      </c>
      <c r="C25" s="68">
        <v>0</v>
      </c>
    </row>
    <row r="26" spans="2:4" x14ac:dyDescent="0.3">
      <c r="B26" s="48" t="s">
        <v>93</v>
      </c>
      <c r="C26" s="68">
        <v>0</v>
      </c>
    </row>
    <row r="27" spans="2:4" x14ac:dyDescent="0.3">
      <c r="B27" s="48" t="s">
        <v>94</v>
      </c>
      <c r="C27" s="68">
        <v>0</v>
      </c>
    </row>
    <row r="28" spans="2:4" x14ac:dyDescent="0.3">
      <c r="B28" s="48" t="s">
        <v>95</v>
      </c>
      <c r="C28" s="68">
        <v>0</v>
      </c>
    </row>
    <row r="29" spans="2:4" x14ac:dyDescent="0.3">
      <c r="B29" s="48" t="s">
        <v>96</v>
      </c>
      <c r="C29" s="68">
        <v>0</v>
      </c>
    </row>
    <row r="30" spans="2:4" x14ac:dyDescent="0.3">
      <c r="B30" s="48" t="s">
        <v>97</v>
      </c>
      <c r="C30" s="68">
        <v>0</v>
      </c>
    </row>
    <row r="31" spans="2:4" x14ac:dyDescent="0.3">
      <c r="B31" s="48" t="s">
        <v>98</v>
      </c>
      <c r="C31" s="68">
        <v>0</v>
      </c>
    </row>
    <row r="32" spans="2:4" x14ac:dyDescent="0.3">
      <c r="B32" s="48" t="s">
        <v>99</v>
      </c>
      <c r="C32" s="68">
        <v>0</v>
      </c>
    </row>
    <row r="33" spans="2:3" x14ac:dyDescent="0.3">
      <c r="B33" s="48" t="s">
        <v>100</v>
      </c>
      <c r="C33" s="68">
        <v>0</v>
      </c>
    </row>
    <row r="34" spans="2:3" x14ac:dyDescent="0.3">
      <c r="B34" s="48" t="s">
        <v>101</v>
      </c>
      <c r="C34" s="68">
        <v>0</v>
      </c>
    </row>
    <row r="35" spans="2:3" x14ac:dyDescent="0.3">
      <c r="B35" s="69" t="s">
        <v>102</v>
      </c>
      <c r="C35" s="70">
        <v>0.1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8ADA-0C72-4474-A916-AF6DFA38A393}">
  <sheetPr>
    <tabColor theme="7" tint="0.79998168889431442"/>
  </sheetPr>
  <dimension ref="B2:C20"/>
  <sheetViews>
    <sheetView showGridLines="0" workbookViewId="0">
      <selection activeCell="B5" sqref="B5"/>
    </sheetView>
  </sheetViews>
  <sheetFormatPr defaultRowHeight="14.4" x14ac:dyDescent="0.3"/>
  <cols>
    <col min="2" max="2" width="53" bestFit="1" customWidth="1"/>
    <col min="3" max="3" width="28.5546875" bestFit="1" customWidth="1"/>
  </cols>
  <sheetData>
    <row r="2" spans="2:3" ht="19.8" x14ac:dyDescent="0.3">
      <c r="B2" s="4" t="s">
        <v>103</v>
      </c>
      <c r="C2" s="5" t="s">
        <v>104</v>
      </c>
    </row>
    <row r="3" spans="2:3" x14ac:dyDescent="0.3">
      <c r="B3" s="6" t="s">
        <v>105</v>
      </c>
      <c r="C3" s="6">
        <v>1</v>
      </c>
    </row>
    <row r="4" spans="2:3" x14ac:dyDescent="0.3">
      <c r="B4" s="6" t="s">
        <v>106</v>
      </c>
      <c r="C4" s="6">
        <v>1</v>
      </c>
    </row>
    <row r="5" spans="2:3" x14ac:dyDescent="0.3">
      <c r="B5" s="6" t="s">
        <v>107</v>
      </c>
      <c r="C5" s="6">
        <v>1</v>
      </c>
    </row>
    <row r="6" spans="2:3" x14ac:dyDescent="0.3">
      <c r="B6" s="6" t="s">
        <v>108</v>
      </c>
      <c r="C6" s="6">
        <v>1</v>
      </c>
    </row>
    <row r="7" spans="2:3" x14ac:dyDescent="0.3">
      <c r="B7" s="6" t="s">
        <v>109</v>
      </c>
      <c r="C7" s="6">
        <v>1</v>
      </c>
    </row>
    <row r="8" spans="2:3" x14ac:dyDescent="0.3">
      <c r="B8" s="7" t="s">
        <v>110</v>
      </c>
      <c r="C8" s="6">
        <v>1</v>
      </c>
    </row>
    <row r="9" spans="2:3" x14ac:dyDescent="0.3">
      <c r="B9" s="6" t="s">
        <v>111</v>
      </c>
      <c r="C9" s="6">
        <v>1</v>
      </c>
    </row>
    <row r="10" spans="2:3" x14ac:dyDescent="0.3">
      <c r="B10" s="6" t="s">
        <v>112</v>
      </c>
      <c r="C10" s="6">
        <v>1</v>
      </c>
    </row>
    <row r="11" spans="2:3" x14ac:dyDescent="0.3">
      <c r="B11" s="6" t="s">
        <v>113</v>
      </c>
      <c r="C11" s="6">
        <v>1</v>
      </c>
    </row>
    <row r="12" spans="2:3" x14ac:dyDescent="0.3">
      <c r="B12" s="6" t="s">
        <v>114</v>
      </c>
      <c r="C12" s="6">
        <v>1</v>
      </c>
    </row>
    <row r="13" spans="2:3" x14ac:dyDescent="0.3">
      <c r="B13" s="6" t="s">
        <v>115</v>
      </c>
      <c r="C13" s="6">
        <v>1</v>
      </c>
    </row>
    <row r="14" spans="2:3" x14ac:dyDescent="0.3">
      <c r="B14" s="6" t="s">
        <v>116</v>
      </c>
      <c r="C14" s="6">
        <v>1</v>
      </c>
    </row>
    <row r="15" spans="2:3" x14ac:dyDescent="0.3">
      <c r="B15" s="6" t="s">
        <v>117</v>
      </c>
      <c r="C15" s="6">
        <v>1</v>
      </c>
    </row>
    <row r="16" spans="2:3" x14ac:dyDescent="0.3">
      <c r="B16" s="6" t="s">
        <v>118</v>
      </c>
      <c r="C16" s="6">
        <v>1</v>
      </c>
    </row>
    <row r="17" spans="2:3" x14ac:dyDescent="0.3">
      <c r="B17" s="6" t="s">
        <v>119</v>
      </c>
      <c r="C17" s="6">
        <v>1</v>
      </c>
    </row>
    <row r="18" spans="2:3" x14ac:dyDescent="0.3">
      <c r="B18" s="6" t="s">
        <v>120</v>
      </c>
      <c r="C18" s="6">
        <v>1</v>
      </c>
    </row>
    <row r="19" spans="2:3" x14ac:dyDescent="0.3">
      <c r="B19" s="45" t="s">
        <v>121</v>
      </c>
      <c r="C19" s="6">
        <v>1</v>
      </c>
    </row>
    <row r="20" spans="2:3" x14ac:dyDescent="0.3">
      <c r="B20" s="10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89EB-053E-4956-9BE8-3190EC98D75E}">
  <sheetPr>
    <tabColor theme="7" tint="0.79998168889431442"/>
  </sheetPr>
  <dimension ref="B2:C22"/>
  <sheetViews>
    <sheetView showGridLines="0" workbookViewId="0">
      <selection activeCell="B5" sqref="B5"/>
    </sheetView>
  </sheetViews>
  <sheetFormatPr defaultRowHeight="14.4" x14ac:dyDescent="0.3"/>
  <cols>
    <col min="2" max="2" width="50.5546875" customWidth="1"/>
    <col min="3" max="3" width="38.5546875" bestFit="1" customWidth="1"/>
  </cols>
  <sheetData>
    <row r="2" spans="2:3" ht="19.8" x14ac:dyDescent="0.3">
      <c r="B2" s="4" t="s">
        <v>103</v>
      </c>
      <c r="C2" s="8" t="s">
        <v>123</v>
      </c>
    </row>
    <row r="3" spans="2:3" x14ac:dyDescent="0.3">
      <c r="B3" s="6" t="s">
        <v>124</v>
      </c>
      <c r="C3" s="6">
        <v>2</v>
      </c>
    </row>
    <row r="4" spans="2:3" x14ac:dyDescent="0.3">
      <c r="B4" s="6" t="s">
        <v>125</v>
      </c>
      <c r="C4" s="6">
        <v>2</v>
      </c>
    </row>
    <row r="5" spans="2:3" x14ac:dyDescent="0.3">
      <c r="B5" s="19" t="s">
        <v>126</v>
      </c>
      <c r="C5" s="19">
        <v>2</v>
      </c>
    </row>
    <row r="6" spans="2:3" x14ac:dyDescent="0.3">
      <c r="B6" s="6" t="s">
        <v>127</v>
      </c>
      <c r="C6" s="6">
        <v>2</v>
      </c>
    </row>
    <row r="7" spans="2:3" x14ac:dyDescent="0.3">
      <c r="B7" s="6" t="s">
        <v>128</v>
      </c>
      <c r="C7" s="6">
        <v>2</v>
      </c>
    </row>
    <row r="8" spans="2:3" x14ac:dyDescent="0.3">
      <c r="B8" s="6" t="s">
        <v>129</v>
      </c>
      <c r="C8" s="6">
        <v>2</v>
      </c>
    </row>
    <row r="9" spans="2:3" x14ac:dyDescent="0.3">
      <c r="B9" s="6" t="s">
        <v>130</v>
      </c>
      <c r="C9" s="6">
        <v>2</v>
      </c>
    </row>
    <row r="10" spans="2:3" x14ac:dyDescent="0.3">
      <c r="B10" s="7" t="s">
        <v>131</v>
      </c>
      <c r="C10" s="6">
        <v>2</v>
      </c>
    </row>
    <row r="11" spans="2:3" x14ac:dyDescent="0.3">
      <c r="B11" s="6" t="s">
        <v>132</v>
      </c>
      <c r="C11" s="6">
        <v>2</v>
      </c>
    </row>
    <row r="12" spans="2:3" x14ac:dyDescent="0.3">
      <c r="B12" s="6" t="s">
        <v>133</v>
      </c>
      <c r="C12" s="6">
        <v>2</v>
      </c>
    </row>
    <row r="13" spans="2:3" x14ac:dyDescent="0.3">
      <c r="B13" s="6" t="s">
        <v>134</v>
      </c>
      <c r="C13" s="6">
        <v>2</v>
      </c>
    </row>
    <row r="14" spans="2:3" x14ac:dyDescent="0.3">
      <c r="B14" s="6" t="s">
        <v>135</v>
      </c>
      <c r="C14" s="6">
        <v>2</v>
      </c>
    </row>
    <row r="15" spans="2:3" x14ac:dyDescent="0.3">
      <c r="B15" s="6" t="s">
        <v>136</v>
      </c>
      <c r="C15" s="6">
        <v>2</v>
      </c>
    </row>
    <row r="16" spans="2:3" x14ac:dyDescent="0.3">
      <c r="B16" s="6" t="s">
        <v>137</v>
      </c>
      <c r="C16" s="6">
        <v>2</v>
      </c>
    </row>
    <row r="17" spans="2:3" x14ac:dyDescent="0.3">
      <c r="B17" s="6" t="s">
        <v>138</v>
      </c>
      <c r="C17" s="6">
        <v>2</v>
      </c>
    </row>
    <row r="18" spans="2:3" x14ac:dyDescent="0.3">
      <c r="B18" s="6" t="s">
        <v>139</v>
      </c>
      <c r="C18" s="6">
        <v>2</v>
      </c>
    </row>
    <row r="19" spans="2:3" x14ac:dyDescent="0.3">
      <c r="B19" s="6" t="s">
        <v>140</v>
      </c>
      <c r="C19" s="6">
        <v>2</v>
      </c>
    </row>
    <row r="20" spans="2:3" x14ac:dyDescent="0.3">
      <c r="B20" s="6" t="s">
        <v>141</v>
      </c>
      <c r="C20" s="6">
        <v>2</v>
      </c>
    </row>
    <row r="21" spans="2:3" x14ac:dyDescent="0.3">
      <c r="B21" s="6" t="s">
        <v>142</v>
      </c>
      <c r="C21" s="6">
        <v>2</v>
      </c>
    </row>
    <row r="22" spans="2:3" x14ac:dyDescent="0.3">
      <c r="B22" s="44" t="s">
        <v>122</v>
      </c>
      <c r="C22" s="46"/>
    </row>
  </sheetData>
  <autoFilter ref="B2:C21" xr:uid="{D68789EB-053E-4956-9BE8-3190EC98D75E}">
    <sortState xmlns:xlrd2="http://schemas.microsoft.com/office/spreadsheetml/2017/richdata2" ref="B3:C22">
      <sortCondition ref="B2:B2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1B9C-4A16-4F1E-8BA4-40C742514600}">
  <sheetPr>
    <tabColor theme="7" tint="0.79998168889431442"/>
  </sheetPr>
  <dimension ref="A2:A28"/>
  <sheetViews>
    <sheetView showGridLines="0" topLeftCell="A8" workbookViewId="0"/>
  </sheetViews>
  <sheetFormatPr defaultRowHeight="14.4" x14ac:dyDescent="0.3"/>
  <cols>
    <col min="1" max="1" width="55.44140625" customWidth="1"/>
  </cols>
  <sheetData>
    <row r="2" spans="1:1" ht="19.8" x14ac:dyDescent="0.3">
      <c r="A2" s="9" t="s">
        <v>143</v>
      </c>
    </row>
    <row r="3" spans="1:1" x14ac:dyDescent="0.3">
      <c r="A3" s="74" t="s">
        <v>144</v>
      </c>
    </row>
    <row r="4" spans="1:1" x14ac:dyDescent="0.3">
      <c r="A4" s="74" t="s">
        <v>145</v>
      </c>
    </row>
    <row r="5" spans="1:1" x14ac:dyDescent="0.3">
      <c r="A5" s="74" t="s">
        <v>146</v>
      </c>
    </row>
    <row r="6" spans="1:1" x14ac:dyDescent="0.3">
      <c r="A6" s="74" t="s">
        <v>147</v>
      </c>
    </row>
    <row r="7" spans="1:1" x14ac:dyDescent="0.3">
      <c r="A7" s="74" t="s">
        <v>148</v>
      </c>
    </row>
    <row r="8" spans="1:1" x14ac:dyDescent="0.3">
      <c r="A8" s="74" t="s">
        <v>149</v>
      </c>
    </row>
    <row r="9" spans="1:1" x14ac:dyDescent="0.3">
      <c r="A9" s="74" t="s">
        <v>150</v>
      </c>
    </row>
    <row r="10" spans="1:1" x14ac:dyDescent="0.3">
      <c r="A10" s="74" t="s">
        <v>151</v>
      </c>
    </row>
    <row r="11" spans="1:1" x14ac:dyDescent="0.3">
      <c r="A11" s="74" t="s">
        <v>152</v>
      </c>
    </row>
    <row r="12" spans="1:1" x14ac:dyDescent="0.3">
      <c r="A12" s="74" t="s">
        <v>153</v>
      </c>
    </row>
    <row r="13" spans="1:1" x14ac:dyDescent="0.3">
      <c r="A13" s="74" t="s">
        <v>154</v>
      </c>
    </row>
    <row r="14" spans="1:1" x14ac:dyDescent="0.3">
      <c r="A14" s="74" t="s">
        <v>155</v>
      </c>
    </row>
    <row r="15" spans="1:1" x14ac:dyDescent="0.3">
      <c r="A15" s="74" t="s">
        <v>156</v>
      </c>
    </row>
    <row r="16" spans="1:1" x14ac:dyDescent="0.3">
      <c r="A16" s="74" t="s">
        <v>157</v>
      </c>
    </row>
    <row r="17" spans="1:1" x14ac:dyDescent="0.3">
      <c r="A17" s="74" t="s">
        <v>158</v>
      </c>
    </row>
    <row r="18" spans="1:1" x14ac:dyDescent="0.3">
      <c r="A18" s="74" t="s">
        <v>159</v>
      </c>
    </row>
    <row r="19" spans="1:1" ht="43.2" x14ac:dyDescent="0.3">
      <c r="A19" s="74" t="s">
        <v>160</v>
      </c>
    </row>
    <row r="20" spans="1:1" x14ac:dyDescent="0.3">
      <c r="A20" s="74" t="s">
        <v>161</v>
      </c>
    </row>
    <row r="21" spans="1:1" x14ac:dyDescent="0.3">
      <c r="A21" s="74" t="s">
        <v>162</v>
      </c>
    </row>
    <row r="22" spans="1:1" x14ac:dyDescent="0.3">
      <c r="A22" s="74" t="s">
        <v>163</v>
      </c>
    </row>
    <row r="23" spans="1:1" x14ac:dyDescent="0.3">
      <c r="A23" s="74" t="s">
        <v>164</v>
      </c>
    </row>
    <row r="24" spans="1:1" x14ac:dyDescent="0.3">
      <c r="A24" s="74" t="s">
        <v>165</v>
      </c>
    </row>
    <row r="25" spans="1:1" ht="43.5" customHeight="1" x14ac:dyDescent="0.3">
      <c r="A25" s="74" t="s">
        <v>166</v>
      </c>
    </row>
    <row r="26" spans="1:1" x14ac:dyDescent="0.3">
      <c r="A26" s="65"/>
    </row>
    <row r="27" spans="1:1" x14ac:dyDescent="0.3">
      <c r="A27" s="64"/>
    </row>
    <row r="28" spans="1:1" x14ac:dyDescent="0.3">
      <c r="A28" s="43" t="s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b47590b-d718-474f-a7b3-10b44959738c">
      <UserInfo>
        <DisplayName>Vraj Savla</DisplayName>
        <AccountId>5564</AccountId>
        <AccountType/>
      </UserInfo>
    </SharedWithUsers>
    <_Flow_SignoffStatus xmlns="edf6b5f7-d342-49f2-86e7-16b167db190f" xsi:nil="true"/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2D9A4-81C9-46DB-A909-0918C92409F7}">
  <ds:schemaRefs>
    <ds:schemaRef ds:uri="http://schemas.microsoft.com/office/2006/metadata/properties"/>
    <ds:schemaRef ds:uri="http://schemas.microsoft.com/office/infopath/2007/PartnerControls"/>
    <ds:schemaRef ds:uri="2b47590b-d718-474f-a7b3-10b44959738c"/>
    <ds:schemaRef ds:uri="edf6b5f7-d342-49f2-86e7-16b167db190f"/>
  </ds:schemaRefs>
</ds:datastoreItem>
</file>

<file path=customXml/itemProps2.xml><?xml version="1.0" encoding="utf-8"?>
<ds:datastoreItem xmlns:ds="http://schemas.openxmlformats.org/officeDocument/2006/customXml" ds:itemID="{A6AA4F29-8833-41FE-B8F0-369BEB36A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649E1-0014-4A5B-B1FF-FF9E53A10E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Construct</vt:lpstr>
      <vt:lpstr>Coverages</vt:lpstr>
      <vt:lpstr>Pricing E only</vt:lpstr>
      <vt:lpstr>Pricing ESC</vt:lpstr>
      <vt:lpstr>Loadings&amp;Discounts</vt:lpstr>
      <vt:lpstr>Industry List - Non Gig workers</vt:lpstr>
      <vt:lpstr>Industry List - Gig Workers</vt:lpstr>
      <vt:lpstr>Decline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Aditya Rane</cp:lastModifiedBy>
  <cp:revision/>
  <dcterms:created xsi:type="dcterms:W3CDTF">2015-06-05T18:17:20Z</dcterms:created>
  <dcterms:modified xsi:type="dcterms:W3CDTF">2026-05-28T11:33:05Z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